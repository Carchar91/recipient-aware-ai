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3d43695f0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оставка" sheetId="1" r:id="Rf0917fb89f1e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#,##0.00"/>
  </x:numFmts>
  <x:fonts count="4">
    <x:font>
      <x:sz val="11"/>
      <x:name val="Carlito"/>
    </x:font>
    <x:font>
      <x:sz val="10"/>
      <x:color rgb="FF183B4E"/>
      <x:name val="Arial"/>
    </x:font>
    <x:font>
      <x:b/>
      <x:sz val="16"/>
      <x:color rgb="FF183B4E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4E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e16848a7746b0" /><Relationship Type="http://schemas.openxmlformats.org/officeDocument/2006/relationships/theme" Target="/xl/theme/theme1.xml" Id="R93298a7162fd477b" /><Relationship Type="http://schemas.openxmlformats.org/officeDocument/2006/relationships/sharedStrings" Target="/xl/sharedStrings.xml" Id="Rba8b5c30612d49f7" /><Relationship Type="http://schemas.openxmlformats.org/officeDocument/2006/relationships/worksheet" Target="/xl/worksheets/sheet1.xml" Id="Rf0917fb89f1e44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9" hidden="0" customWidth="1"/>
    <x:col min="5" max="5" width="20" hidden="0" customWidth="1"/>
    <x:col min="6" max="6" width="23" hidden="0" customWidth="1"/>
    <x:col min="7" max="7" width="30" hidden="0" customWidth="1"/>
  </x:cols>
  <x:sheetData>
    <x:row r="1" ht="38" customHeight="1">
      <x:c r="A1" s="4" t="str">
        <x:v>Доставка плакатов</x:v>
      </x:c>
      <x:c r="B1" s="3"/>
      <x:c r="C1" s="3" t="str">
        <x:v>РЕДАКЦИОННАЯ ПРОИЗВОДНАЯ</x:v>
      </x:c>
      <x:c r="D1" s="3"/>
      <x:c r="E1" s="3"/>
      <x:c r="F1" s="3" t="str">
        <x:v>Синтетический пример</x:v>
      </x:c>
      <x:c r="G1" s="3"/>
    </x:row>
    <x:row r="2" ht="38" customHeight="1">
      <x:c r="A2" s="3" t="str">
        <x:v>Подготовка ≠ бронирование</x:v>
      </x:c>
      <x:c r="B2" s="3"/>
      <x:c r="C2" s="3" t="str">
        <x:v>Жёлтые поля — ввод; формулы считают массу и условную цену</x:v>
      </x:c>
      <x:c r="D2" s="3"/>
      <x:c r="E2" s="3"/>
      <x:c r="F2" s="3" t="str">
        <x:v>Окно Речного неизвестно</x:v>
      </x:c>
      <x:c r="G2" s="3"/>
    </x:row>
    <x:row r="3" ht="30" customHeight="1">
      <x:c r="A3" s="3"/>
      <x:c r="B3" s="3"/>
      <x:c r="C3" s="3"/>
      <x:c r="D3" s="3"/>
      <x:c r="E3" s="3"/>
      <x:c r="F3" s="3"/>
      <x:c r="G3" s="3"/>
    </x:row>
    <x:row r="4" ht="30" customHeight="1">
      <x:c r="A4" s="6" t="str">
        <x:v>Филиал</x:v>
      </x:c>
      <x:c r="B4" s="6" t="str">
        <x:v>Плакатов</x:v>
      </x:c>
      <x:c r="C4" s="6" t="str">
        <x:v>Коробов</x:v>
      </x:c>
      <x:c r="D4" s="6" t="str">
        <x:v>Расчётная масса, кг</x:v>
      </x:c>
      <x:c r="E4" s="6" t="str">
        <x:v>Адрес</x:v>
      </x:c>
      <x:c r="F4" s="6" t="str">
        <x:v>Подтверждённый приём</x:v>
      </x:c>
      <x:c r="G4" s="6" t="str">
        <x:v>Источник</x:v>
      </x:c>
    </x:row>
    <x:row r="5" ht="58" customHeight="1">
      <x:c r="A5" s="3" t="str">
        <x:v>Западный</x:v>
      </x:c>
      <x:c r="B5" s="8" t="n">
        <x:v>10</x:v>
      </x:c>
      <x:c r="C5" s="8" t="n">
        <x:v>1</x:v>
      </x:c>
      <x:c r="D5" s="9" t="n">
        <x:f>B5*$B$18+C5*$B$19</x:f>
        <x:v>3.4</x:v>
      </x:c>
      <x:c r="E5" s="3" t="str">
        <x:v>ул. Полевая, 8</x:v>
      </x:c>
      <x:c r="F5" s="3" t="str">
        <x:v>02.11.2026 13:00–15:00</x:v>
      </x:c>
      <x:c r="G5" s="3" t="str">
        <x:v>distribution.csv; access.txt</x:v>
      </x:c>
    </x:row>
    <x:row r="6" ht="58" customHeight="1">
      <x:c r="A6" s="3" t="str">
        <x:v>Речной</x:v>
      </x:c>
      <x:c r="B6" s="8" t="n">
        <x:v>8</x:v>
      </x:c>
      <x:c r="C6" s="8" t="n">
        <x:v>1</x:v>
      </x:c>
      <x:c r="D6" s="9" t="n">
        <x:f>B6*$B$18+C6*$B$19</x:f>
        <x:v>2.8</x:v>
      </x:c>
      <x:c r="E6" s="3" t="str">
        <x:v>наб. Лесная, 3</x:v>
      </x:c>
      <x:c r="F6" s="7"/>
      <x:c r="G6" s="3" t="str">
        <x:v>Окно: Надежда, чат «Филиал Речной»</x:v>
      </x:c>
    </x:row>
    <x:row r="7" ht="30" customHeight="1">
      <x:c r="A7" s="3" t="str">
        <x:v>Всего</x:v>
      </x:c>
      <x:c r="B7" s="3" t="n">
        <x:f>SUM(B5:B6)</x:f>
        <x:v>18</x:v>
      </x:c>
      <x:c r="C7" s="3" t="n">
        <x:f>SUM(C5:C6)</x:f>
        <x:v>2</x:v>
      </x:c>
      <x:c r="D7" s="9" t="n">
        <x:f>SUM(D5:D6)</x:f>
        <x:v>6.199999999999999</x:v>
      </x:c>
      <x:c r="E7" s="3"/>
      <x:c r="F7" s="3"/>
      <x:c r="G7" s="3"/>
    </x:row>
    <x:row r="8" ht="30" customHeight="1">
      <x:c r="A8" s="3"/>
      <x:c r="B8" s="3"/>
      <x:c r="C8" s="3"/>
      <x:c r="D8" s="3"/>
      <x:c r="E8" s="3"/>
      <x:c r="F8" s="3"/>
      <x:c r="G8" s="3"/>
    </x:row>
    <x:row r="9" ht="50" customHeight="1">
      <x:c r="A9" s="3" t="str">
        <x:v>Условная цена, руб.</x:v>
      </x:c>
      <x:c r="B9" s="10" t="n">
        <x:f>B22+COUNTA(A5:A6)*B23</x:f>
        <x:v>950</x:v>
      </x:c>
      <x:c r="C9" s="3"/>
      <x:c r="D9" s="3" t="str">
        <x:v>Только один маршрут в один день при совместимых окнах</x:v>
      </x:c>
      <x:c r="E9" s="3"/>
      <x:c r="F9" s="3" t="str">
        <x:v>Не итоговая цена</x:v>
      </x:c>
      <x:c r="G9" s="3"/>
    </x:row>
    <x:row r="10" ht="30" customHeight="1">
      <x:c r="A10" s="3"/>
      <x:c r="B10" s="3"/>
      <x:c r="C10" s="3"/>
      <x:c r="D10" s="3"/>
      <x:c r="E10" s="3"/>
      <x:c r="F10" s="3"/>
      <x:c r="G10" s="3"/>
    </x:row>
    <x:row r="11" ht="55" customHeight="1">
      <x:c r="A11" s="3" t="str">
        <x:v>Окно Речного</x:v>
      </x:c>
      <x:c r="B11" s="3" t="str">
        <x:f>IF(F6="","НЕИЗВЕСТНО","Внесено; проверить с курьером")</x:f>
        <x:v>НЕИЗВЕСТНО</x:v>
      </x:c>
      <x:c r="C11" s="3"/>
      <x:c r="D11" s="3" t="str">
        <x:v>Источник: Надежда, существующий чат</x:v>
      </x:c>
      <x:c r="E11" s="3"/>
      <x:c r="F11" s="3"/>
      <x:c r="G11" s="3"/>
    </x:row>
    <x:row r="12" ht="55" customHeight="1">
      <x:c r="A12" s="3" t="str">
        <x:v>Маршрут подтверждён курьером</x:v>
      </x:c>
      <x:c r="B12" s="7" t="str">
        <x:v>Не подтверждено</x:v>
      </x:c>
      <x:c r="C12" s="3"/>
      <x:c r="D12" s="3" t="str">
        <x:v>Заполнить только по фактическому ответу курьера</x:v>
      </x:c>
      <x:c r="E12" s="3"/>
      <x:c r="F12" s="3"/>
      <x:c r="G12" s="3"/>
    </x:row>
    <x:row r="13" ht="55" customHeight="1">
      <x:c r="A13" s="3" t="str">
        <x:v>Полная цена подтверждена, руб.</x:v>
      </x:c>
      <x:c r="B13" s="11"/>
      <x:c r="C13" s="3"/>
      <x:c r="D13" s="3" t="str">
        <x:v>Пусто = неизвестно; 0 = явно подтверждённая нулевая цена</x:v>
      </x:c>
      <x:c r="E13" s="3"/>
      <x:c r="F13" s="3"/>
      <x:c r="G13" s="3"/>
    </x:row>
    <x:row r="14" ht="55" customHeight="1">
      <x:c r="A14" s="3" t="str">
        <x:v>Решение Светланы</x:v>
      </x:c>
      <x:c r="B14" s="7" t="str">
        <x:v>Не утверждено</x:v>
      </x:c>
      <x:c r="C14" s="3"/>
      <x:c r="D14" s="3" t="str">
        <x:v>Курьер и расход — решение Светланы</x:v>
      </x:c>
      <x:c r="E14" s="3"/>
      <x:c r="F14" s="3"/>
      <x:c r="G14" s="3"/>
    </x:row>
    <x:row r="15" ht="55" customHeight="1">
      <x:c r="A15" s="3" t="str">
        <x:v>Состояние подготовки</x:v>
      </x:c>
      <x:c r="B15" s="3" t="str">
        <x:f>IF(F6="","Уточнить окно Речного",IF(B12&lt;&gt;"Да","Подтвердить маршрут",IF(ISNUMBER(B13),IF(B13&lt;0,"Проверить цену",IF(B14="Утверждено","Условия утверждены; не забронировано","Получить решение Светланы")),"Уточнить полную цену")))</x:f>
        <x:v>Уточнить окно Речного</x:v>
      </x:c>
      <x:c r="C15" s="3"/>
      <x:c r="D15" s="3" t="str">
        <x:v>Готовность упаковки уточняется отдельно у Николая</x:v>
      </x:c>
      <x:c r="E15" s="3"/>
      <x:c r="F15" s="3"/>
      <x:c r="G15" s="3"/>
    </x:row>
    <x:row r="16" ht="30" customHeight="1">
      <x:c r="A16" s="3"/>
      <x:c r="B16" s="3"/>
      <x:c r="C16" s="3"/>
      <x:c r="D16" s="3"/>
      <x:c r="E16" s="3"/>
      <x:c r="F16" s="3"/>
      <x:c r="G16" s="3"/>
    </x:row>
    <x:row r="17" ht="30" customHeight="1">
      <x:c r="A17" s="6" t="str">
        <x:v>Масса</x:v>
      </x:c>
      <x:c r="B17" s="6" t="str">
        <x:v>кг</x:v>
      </x:c>
      <x:c r="C17" s="6" t="str">
        <x:v>Источник</x:v>
      </x:c>
      <x:c r="D17" s="6"/>
      <x:c r="E17" s="6"/>
      <x:c r="F17" s="6"/>
      <x:c r="G17" s="6"/>
    </x:row>
    <x:row r="18" ht="30" customHeight="1">
      <x:c r="A18" s="3" t="str">
        <x:v>Один плакат</x:v>
      </x:c>
      <x:c r="B18" s="12" t="n">
        <x:v>0.3</x:v>
      </x:c>
      <x:c r="C18" s="3" t="str">
        <x:v>task.txt</x:v>
      </x:c>
      <x:c r="D18" s="3"/>
      <x:c r="E18" s="3"/>
      <x:c r="F18" s="3"/>
      <x:c r="G18" s="3"/>
    </x:row>
    <x:row r="19" ht="30" customHeight="1">
      <x:c r="A19" s="3" t="str">
        <x:v>Пустой короб</x:v>
      </x:c>
      <x:c r="B19" s="12" t="n">
        <x:v>0.4</x:v>
      </x:c>
      <x:c r="C19" s="3" t="str">
        <x:v>task.txt</x:v>
      </x:c>
      <x:c r="D19" s="3"/>
      <x:c r="E19" s="3"/>
      <x:c r="F19" s="3"/>
      <x:c r="G19" s="3"/>
    </x:row>
    <x:row r="20" ht="30" customHeight="1">
      <x:c r="A20" s="3"/>
      <x:c r="B20" s="3"/>
      <x:c r="C20" s="3"/>
      <x:c r="D20" s="3"/>
      <x:c r="E20" s="3"/>
      <x:c r="F20" s="3"/>
      <x:c r="G20" s="3"/>
    </x:row>
    <x:row r="21" ht="30" customHeight="1">
      <x:c r="A21" s="6" t="str">
        <x:v>Предварительный тариф</x:v>
      </x:c>
      <x:c r="B21" s="6" t="str">
        <x:v>руб.</x:v>
      </x:c>
      <x:c r="C21" s="6" t="str">
        <x:v>Условие / источник</x:v>
      </x:c>
      <x:c r="D21" s="6"/>
      <x:c r="E21" s="6"/>
      <x:c r="F21" s="6"/>
      <x:c r="G21" s="6"/>
    </x:row>
    <x:row r="22" ht="55" customHeight="1">
      <x:c r="A22" s="3" t="str">
        <x:v>Один маршрут</x:v>
      </x:c>
      <x:c r="B22" s="11" t="n">
        <x:v>650</x:v>
      </x:c>
      <x:c r="C22" s="3" t="str">
        <x:v>task.txt: обе доставки в один день одним совместимым маршрутом</x:v>
      </x:c>
      <x:c r="D22" s="3"/>
      <x:c r="E22" s="3"/>
      <x:c r="F22" s="3"/>
      <x:c r="G22" s="3"/>
    </x:row>
    <x:row r="23" ht="55" customHeight="1">
      <x:c r="A23" s="3" t="str">
        <x:v>Одна точка доставки</x:v>
      </x:c>
      <x:c r="B23" s="11" t="n">
        <x:v>150</x:v>
      </x:c>
      <x:c r="C23" s="3" t="str">
        <x:v>task.txt; разные дни / несовместимые окна → новый расчёт</x:v>
      </x:c>
      <x:c r="D23" s="3"/>
      <x:c r="E23" s="3"/>
      <x:c r="F23" s="3"/>
      <x:c r="G23" s="3"/>
    </x:row>
    <x:row r="24" ht="30" customHeight="1">
      <x:c r="A24" s="3"/>
      <x:c r="B24" s="3"/>
      <x:c r="C24" s="3"/>
      <x:c r="D24" s="3"/>
      <x:c r="E24" s="3"/>
      <x:c r="F24" s="3"/>
      <x:c r="G24" s="3"/>
    </x:row>
    <x:row r="25" ht="45" customHeight="1">
      <x:c r="A25" s="6" t="str">
        <x:v>Действия и фактические ответы</x:v>
      </x:c>
      <x:c r="B25" s="6" t="str">
        <x:v>Статус</x:v>
      </x:c>
      <x:c r="C25" s="6" t="str">
        <x:v>Фактический ответ / ссылка</x:v>
      </x:c>
      <x:c r="D25" s="6"/>
      <x:c r="E25" s="6"/>
      <x:c r="F25" s="6"/>
      <x:c r="G25" s="6"/>
    </x:row>
    <x:row r="26" ht="45" customHeight="1">
      <x:c r="A26" s="3" t="str">
        <x:v>Николай: упаковка/выдача</x:v>
      </x:c>
      <x:c r="B26" s="7" t="str">
        <x:v>Не запрошено</x:v>
      </x:c>
      <x:c r="C26" s="7"/>
      <x:c r="D26" s="3"/>
      <x:c r="E26" s="3"/>
      <x:c r="F26" s="3"/>
      <x:c r="G26" s="3"/>
    </x:row>
    <x:row r="27" ht="45" customHeight="1">
      <x:c r="A27" s="3" t="str">
        <x:v>Надежда: окно Речного</x:v>
      </x:c>
      <x:c r="B27" s="7" t="str">
        <x:v>Не запрошено</x:v>
      </x:c>
      <x:c r="C27" s="7"/>
      <x:c r="D27" s="3"/>
      <x:c r="E27" s="3"/>
      <x:c r="F27" s="3"/>
      <x:c r="G27" s="3"/>
    </x:row>
    <x:row r="28" ht="45" customHeight="1">
      <x:c r="A28" s="3" t="str">
        <x:v>«Берег»: маршрут/полная цена</x:v>
      </x:c>
      <x:c r="B28" s="7" t="str">
        <x:v>Не запрошено</x:v>
      </x:c>
      <x:c r="C28" s="7"/>
      <x:c r="D28" s="3"/>
      <x:c r="E28" s="3"/>
      <x:c r="F28" s="3"/>
      <x:c r="G28" s="3"/>
    </x:row>
    <x:row r="29" ht="45" customHeight="1">
      <x:c r="A29" s="3" t="str">
        <x:v>Светлана: заказ/расход</x:v>
      </x:c>
      <x:c r="B29" s="7" t="str">
        <x:v>Не передано</x:v>
      </x:c>
      <x:c r="C29" s="7"/>
      <x:c r="D29" s="3"/>
      <x:c r="E29" s="3"/>
      <x:c r="F29" s="3"/>
      <x:c r="G29" s="3"/>
    </x:row>
    <x:row r="30" ht="30" customHeight="1">
      <x:c r="A30" s="3"/>
      <x:c r="B30" s="3"/>
      <x:c r="C30" s="3"/>
      <x:c r="D30" s="3"/>
      <x:c r="E30" s="3"/>
      <x:c r="F30" s="3"/>
      <x:c r="G30" s="3"/>
    </x:row>
    <x:row r="31" ht="50" customHeight="1">
      <x:c r="A31" s="3" t="str">
        <x:v>Подтверждённый забор</x:v>
      </x:c>
      <x:c r="B31" s="3" t="str">
        <x:v>02.11.2026 10:00–12:00</x:v>
      </x:c>
      <x:c r="C31" s="3"/>
      <x:c r="D31" s="3" t="str">
        <x:v>«Маяк», ул. Тихая, 4</x:v>
      </x:c>
      <x:c r="E31" s="3"/>
      <x:c r="F31" s="3" t="str">
        <x:v>Курьер не забронирован</x:v>
      </x:c>
      <x:c r="G31" s="3"/>
    </x:row>
    <x:row r="32" ht="50" customHeight="1">
      <x:c r="A32" s="3" t="str">
        <x:v>Курьер «Берег»</x:v>
      </x:c>
      <x:c r="B32" s="3" t="str">
        <x:v>dispatch@bereg.example</x:v>
      </x:c>
      <x:c r="C32" s="3"/>
      <x:c r="D32" s="3" t="str">
        <x:v>Тимур собирает сведения; Светлана утверждает</x:v>
      </x:c>
      <x:c r="E32" s="3"/>
      <x:c r="F32" s="3"/>
      <x:c r="G32" s="3"/>
    </x:row>
    <x:row r="33" ht="50" customHeight="1">
      <x:c r="A33" s="3" t="str">
        <x:v>Канал передачи</x:v>
      </x:c>
      <x:c r="B33" s="3" t="str">
        <x:v>«Организация доставки»</x:v>
      </x:c>
      <x:c r="C33" s="3"/>
      <x:c r="D33" s="3" t="str">
        <x:v>Николай: чат «Склад Маяка»</x:v>
      </x:c>
      <x:c r="E33" s="3"/>
      <x:c r="F33" s="3"/>
      <x:c r="G33" s="3"/>
    </x:row>
    <x:row r="34" ht="50" customHeight="1">
      <x:c r="A34" s="3" t="str">
        <x:v>Источники: см. START_HERE_RU.md</x:v>
      </x:c>
      <x:c r="B34" s="3"/>
      <x:c r="C34" s="3" t="str">
        <x:v>Масса расчётная; не взвешивание. Окно Речного и полная цена пока неизвестны.</x:v>
      </x:c>
      <x:c r="D34" s="3"/>
      <x:c r="E34" s="3"/>
      <x:c r="F34" s="3"/>
      <x:c r="G34" s="3"/>
    </x:row>
    <x:row r="35" ht="50" customHeight="1">
      <x:c r="A35" s="3" t="str">
        <x:v>При изменении чисел обновить TXT</x:v>
      </x:c>
      <x:c r="B35" s="3"/>
      <x:c r="C35" s="3" t="str">
        <x:v>Файлы сообщений не связаны с таблицей автоматически. Ничего не отправлено.</x:v>
      </x:c>
      <x:c r="D35" s="3"/>
      <x:c r="E35" s="3"/>
      <x:c r="F35" s="3"/>
      <x:c r="G35" s="3"/>
    </x:row>
  </x:sheetData>
  <x:mergeCells>
    <x:mergeCell ref="C2:E2"/>
    <x:mergeCell ref="C22:G22"/>
    <x:mergeCell ref="C23:G23"/>
    <x:mergeCell ref="C34:G34"/>
    <x:mergeCell ref="C35:G35"/>
    <x:mergeCell ref="B11:C11"/>
    <x:mergeCell ref="B12:C12"/>
    <x:mergeCell ref="B13:C13"/>
    <x:mergeCell ref="B14:C14"/>
    <x:mergeCell ref="B15:C15"/>
  </x:mergeCells>
  <x:conditionalFormatting sqref="B11:B15">
    <x:cfRule type="containsText" dxfId="0" priority="1" operator="containsText" text="Уточнить"/>
  </x:conditionalFormatting>
  <x:dataValidations count="2">
    <x:dataValidation type="list" sqref="B12">
      <x:formula1>"Не подтверждено,Да,Нет"</x:formula1>
    </x:dataValidation>
    <x:dataValidation type="list" sqref="B14">
      <x:formula1>"Не утверждено,Утверждено,Отказ"</x:formula1>
    </x:dataValidation>
  </x:dataValidations>
  <x:pageMargins left="0.7" right="0.7" top="0.75" bottom="0.75" header="0.3" footer="0.3"/>
</x:worksheet>
</file>