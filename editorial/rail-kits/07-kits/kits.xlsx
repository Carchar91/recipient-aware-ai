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02f6bfd43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мплекты" sheetId="1" r:id="R91c8ed499d07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0%"/>
  </x:numFmts>
  <x:fonts count="4">
    <x:font>
      <x:sz val="11"/>
      <x:name val="Carlito"/>
    </x:font>
    <x:font>
      <x:sz val="10"/>
      <x:color rgb="FF183B4E"/>
      <x:name val="Arial"/>
    </x:font>
    <x:font>
      <x:b/>
      <x:sz val="16"/>
      <x:color rgb="FF183B4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dfba3e27849d7" /><Relationship Type="http://schemas.openxmlformats.org/officeDocument/2006/relationships/theme" Target="/xl/theme/theme1.xml" Id="R1eac0ad67dbe433d" /><Relationship Type="http://schemas.openxmlformats.org/officeDocument/2006/relationships/sharedStrings" Target="/xl/sharedStrings.xml" Id="Rbe8f55d2500d4b78" /><Relationship Type="http://schemas.openxmlformats.org/officeDocument/2006/relationships/worksheet" Target="/xl/worksheets/sheet1.xml" Id="R91c8ed499d07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9" hidden="0" customWidth="1"/>
    <x:col min="5" max="5" width="20" hidden="0" customWidth="1"/>
    <x:col min="6" max="6" width="23" hidden="0" customWidth="1"/>
    <x:col min="7" max="7" width="30" hidden="0" customWidth="1"/>
  </x:cols>
  <x:sheetData>
    <x:row r="1" ht="38" customHeight="1">
      <x:c r="A1" s="4" t="str">
        <x:v>Комплекты филиалов</x:v>
      </x:c>
      <x:c r="B1" s="3"/>
      <x:c r="C1" s="3" t="str">
        <x:v>РЕДАКЦИОННАЯ ПРОИЗВОДНАЯ</x:v>
      </x:c>
      <x:c r="D1" s="3"/>
      <x:c r="E1" s="3"/>
      <x:c r="F1" s="3" t="str">
        <x:v>Синтетический пример</x:v>
      </x:c>
      <x:c r="G1" s="3"/>
    </x:row>
    <x:row r="2" ht="38" customHeight="1">
      <x:c r="A2" s="3" t="str">
        <x:v>Ничего не отправлено и не заказано</x:v>
      </x:c>
      <x:c r="B2" s="3"/>
      <x:c r="C2" s="3" t="str">
        <x:v>Жёлтые поля — ввод; остальные расчётные поля — формулы</x:v>
      </x:c>
      <x:c r="D2" s="3"/>
      <x:c r="E2" s="3"/>
      <x:c r="F2" s="3" t="str">
        <x:v>Предварительные цены ≠ подтверждение</x:v>
      </x:c>
      <x:c r="G2" s="3"/>
    </x:row>
    <x:row r="3" ht="30" customHeight="1">
      <x:c r="A3" s="3"/>
      <x:c r="B3" s="3"/>
      <x:c r="C3" s="3"/>
      <x:c r="D3" s="3"/>
      <x:c r="E3" s="3"/>
      <x:c r="F3" s="3"/>
      <x:c r="G3" s="3"/>
    </x:row>
    <x:row r="4" ht="30" customHeight="1">
      <x:c r="A4" s="6" t="str">
        <x:v>Поставщик</x:v>
      </x:c>
      <x:c r="B4" s="6" t="str">
        <x:v>Блокноты, руб.</x:v>
      </x:c>
      <x:c r="C4" s="6" t="str">
        <x:v>Ручки, руб.</x:v>
      </x:c>
      <x:c r="D4" s="6" t="str">
        <x:v>Доставка, руб.</x:v>
      </x:c>
      <x:c r="E4" s="6" t="str">
        <x:v>Всего, руб.</x:v>
      </x:c>
      <x:c r="F4" s="6" t="str">
        <x:v>Наличие / сроки</x:v>
      </x:c>
      <x:c r="G4" s="6" t="str">
        <x:v>Условия</x:v>
      </x:c>
    </x:row>
    <x:row r="5" ht="30" customHeight="1">
      <x:c r="A5" s="3" t="str">
        <x:v>Ресурс</x:v>
      </x:c>
      <x:c r="B5" s="7" t="n">
        <x:f>$D$19*B25</x:f>
        <x:v>7854</x:v>
      </x:c>
      <x:c r="C5" s="7" t="n">
        <x:f>$D$20*C25</x:f>
        <x:v>1692</x:v>
      </x:c>
      <x:c r="D5" s="7" t="n">
        <x:f>D25</x:f>
        <x:v>450</x:v>
      </x:c>
      <x:c r="E5" s="7" t="n">
        <x:f>SUM(B5:D5)</x:f>
        <x:v>9996</x:v>
      </x:c>
      <x:c r="F5" s="3" t="str">
        <x:v>Не подтверждены</x:v>
      </x:c>
      <x:c r="G5" s="3" t="str">
        <x:v>Налоги включены</x:v>
      </x:c>
    </x:row>
    <x:row r="6" ht="30" customHeight="1">
      <x:c r="A6" s="3" t="str">
        <x:v>Склад</x:v>
      </x:c>
      <x:c r="B6" s="7" t="n">
        <x:f>$D$19*B26</x:f>
        <x:v>7293</x:v>
      </x:c>
      <x:c r="C6" s="7" t="n">
        <x:f>$D$20*C26</x:f>
        <x:v>1974</x:v>
      </x:c>
      <x:c r="D6" s="7" t="n">
        <x:f>D26</x:f>
        <x:v>700</x:v>
      </x:c>
      <x:c r="E6" s="7" t="n">
        <x:f>SUM(B6:D6)</x:f>
        <x:v>9967</x:v>
      </x:c>
      <x:c r="F6" s="3" t="str">
        <x:v>Не подтверждены</x:v>
      </x:c>
      <x:c r="G6" s="3" t="str">
        <x:v>Налоги включены</x:v>
      </x:c>
    </x:row>
    <x:row r="7" ht="30" customHeight="1">
      <x:c r="A7" s="3"/>
      <x:c r="B7" s="3"/>
      <x:c r="C7" s="3"/>
      <x:c r="D7" s="3"/>
      <x:c r="E7" s="3"/>
      <x:c r="F7" s="3"/>
      <x:c r="G7" s="3"/>
    </x:row>
    <x:row r="8" ht="30" customHeight="1">
      <x:c r="A8" s="6" t="str">
        <x:v>К закупке, шт.</x:v>
      </x:c>
      <x:c r="B8" s="6" t="str">
        <x:v>Блокноты Б-48</x:v>
      </x:c>
      <x:c r="C8" s="6" t="str">
        <x:v>Ручки Р-1</x:v>
      </x:c>
      <x:c r="D8" s="6" t="str">
        <x:v>Разница сумм, руб.</x:v>
      </x:c>
      <x:c r="E8" s="6"/>
      <x:c r="F8" s="6"/>
      <x:c r="G8" s="6"/>
    </x:row>
    <x:row r="9" ht="30" customHeight="1">
      <x:c r="A9" s="3" t="str">
        <x:v>С резервом</x:v>
      </x:c>
      <x:c r="B9" s="3" t="n">
        <x:f>D19</x:f>
        <x:v>187</x:v>
      </x:c>
      <x:c r="C9" s="3" t="n">
        <x:f>D20</x:f>
        <x:v>94</x:v>
      </x:c>
      <x:c r="D9" s="3" t="n">
        <x:f>ABS(E5-E6)</x:f>
        <x:v>29</x:v>
      </x:c>
      <x:c r="E9" s="3"/>
      <x:c r="F9" s="3"/>
      <x:c r="G9" s="3"/>
    </x:row>
    <x:row r="10" ht="30" customHeight="1">
      <x:c r="A10" s="3"/>
      <x:c r="B10" s="3"/>
      <x:c r="C10" s="3"/>
      <x:c r="D10" s="3"/>
      <x:c r="E10" s="3"/>
      <x:c r="F10" s="3"/>
      <x:c r="G10" s="3"/>
    </x:row>
    <x:row r="11" ht="30" customHeight="1">
      <x:c r="A11" s="6" t="str">
        <x:v>Утверждённый план</x:v>
      </x:c>
      <x:c r="B11" s="6" t="str">
        <x:v>Участников</x:v>
      </x:c>
      <x:c r="C11" s="6" t="str">
        <x:v>Источник</x:v>
      </x:c>
      <x:c r="D11" s="6"/>
      <x:c r="E11" s="6"/>
      <x:c r="F11" s="6"/>
      <x:c r="G11" s="6"/>
    </x:row>
    <x:row r="12" ht="30" customHeight="1">
      <x:c r="A12" s="3" t="str">
        <x:v>Северный</x:v>
      </x:c>
      <x:c r="B12" s="9" t="n">
        <x:v>35</x:v>
      </x:c>
      <x:c r="C12" s="3" t="str">
        <x:v>current_plan.csv</x:v>
      </x:c>
      <x:c r="D12" s="3"/>
      <x:c r="E12" s="3"/>
      <x:c r="F12" s="3"/>
      <x:c r="G12" s="3"/>
    </x:row>
    <x:row r="13" ht="30" customHeight="1">
      <x:c r="A13" s="3" t="str">
        <x:v>Восточный</x:v>
      </x:c>
      <x:c r="B13" s="9" t="n">
        <x:v>28</x:v>
      </x:c>
      <x:c r="C13" s="3" t="str">
        <x:v>current_plan.csv</x:v>
      </x:c>
      <x:c r="D13" s="3"/>
      <x:c r="E13" s="3"/>
      <x:c r="F13" s="3"/>
      <x:c r="G13" s="3"/>
    </x:row>
    <x:row r="14" ht="30" customHeight="1">
      <x:c r="A14" s="3" t="str">
        <x:v>Южный</x:v>
      </x:c>
      <x:c r="B14" s="9" t="n">
        <x:v>22</x:v>
      </x:c>
      <x:c r="C14" s="3" t="str">
        <x:v>current_plan.csv</x:v>
      </x:c>
      <x:c r="D14" s="3"/>
      <x:c r="E14" s="3"/>
      <x:c r="F14" s="3"/>
      <x:c r="G14" s="3"/>
    </x:row>
    <x:row r="15" ht="30" customHeight="1">
      <x:c r="A15" s="3" t="str">
        <x:v>Всего</x:v>
      </x:c>
      <x:c r="B15" s="3" t="n">
        <x:f>SUM(B12:B14)</x:f>
        <x:v>85</x:v>
      </x:c>
      <x:c r="C15" s="3"/>
      <x:c r="D15" s="3"/>
      <x:c r="E15" s="3"/>
      <x:c r="F15" s="3"/>
      <x:c r="G15" s="3"/>
    </x:row>
    <x:row r="16" ht="30" customHeight="1">
      <x:c r="A16" s="3"/>
      <x:c r="B16" s="3"/>
      <x:c r="C16" s="3"/>
      <x:c r="D16" s="3"/>
      <x:c r="E16" s="3"/>
      <x:c r="F16" s="3"/>
      <x:c r="G16" s="3"/>
    </x:row>
    <x:row r="17" ht="30" customHeight="1">
      <x:c r="A17" s="6" t="str">
        <x:v>Параметр</x:v>
      </x:c>
      <x:c r="B17" s="6" t="str">
        <x:v>Значение</x:v>
      </x:c>
      <x:c r="C17" s="6"/>
      <x:c r="D17" s="6"/>
      <x:c r="E17" s="6"/>
      <x:c r="F17" s="6"/>
      <x:c r="G17" s="6"/>
    </x:row>
    <x:row r="18" ht="30" customHeight="1">
      <x:c r="A18" s="3" t="str">
        <x:v>Резерв</x:v>
      </x:c>
      <x:c r="B18" s="10" t="n">
        <x:v>0.1</x:v>
      </x:c>
      <x:c r="C18" s="3" t="str">
        <x:v>База, шт.</x:v>
      </x:c>
      <x:c r="D18" s="3" t="str">
        <x:v>К закупке, шт.</x:v>
      </x:c>
      <x:c r="E18" s="3" t="str">
        <x:v>Резерв, шт.</x:v>
      </x:c>
      <x:c r="F18" s="3"/>
      <x:c r="G18" s="3"/>
    </x:row>
    <x:row r="19" ht="30" customHeight="1">
      <x:c r="A19" s="3" t="str">
        <x:v>Блокноты Б-48</x:v>
      </x:c>
      <x:c r="B19" s="9" t="n">
        <x:v>2</x:v>
      </x:c>
      <x:c r="C19" s="3" t="n">
        <x:f>$B$15*B19</x:f>
        <x:v>170</x:v>
      </x:c>
      <x:c r="D19" s="3" t="n">
        <x:f>C19+ROUNDUP(C19*$B$18,0)</x:f>
        <x:v>187</x:v>
      </x:c>
      <x:c r="E19" s="3" t="n">
        <x:f>D19-C19</x:f>
        <x:v>17</x:v>
      </x:c>
      <x:c r="F19" s="3"/>
      <x:c r="G19" s="3"/>
    </x:row>
    <x:row r="20" ht="30" customHeight="1">
      <x:c r="A20" s="3" t="str">
        <x:v>Ручки Р-1</x:v>
      </x:c>
      <x:c r="B20" s="9" t="n">
        <x:v>1</x:v>
      </x:c>
      <x:c r="C20" s="3" t="n">
        <x:f>$B$15*B20</x:f>
        <x:v>85</x:v>
      </x:c>
      <x:c r="D20" s="3" t="n">
        <x:f>C20+ROUNDUP(C20*$B$18,0)</x:f>
        <x:v>94</x:v>
      </x:c>
      <x:c r="E20" s="3" t="n">
        <x:f>D20-C20</x:f>
        <x:v>9</x:v>
      </x:c>
      <x:c r="F20" s="3"/>
      <x:c r="G20" s="3"/>
    </x:row>
    <x:row r="21" ht="30" customHeight="1">
      <x:c r="A21" s="3"/>
      <x:c r="B21" s="3"/>
      <x:c r="C21" s="3"/>
      <x:c r="D21" s="3"/>
      <x:c r="E21" s="3"/>
      <x:c r="F21" s="3"/>
      <x:c r="G21" s="3"/>
    </x:row>
    <x:row r="22" ht="48" customHeight="1">
      <x:c r="A22" s="3" t="str">
        <x:v>Пакеты уже есть — не закупать</x:v>
      </x:c>
      <x:c r="B22" s="3"/>
      <x:c r="C22" s="3" t="str">
        <x:v>task.txt: 2 блокнота + 1 ручка, резерв по сумме каждой позиции</x:v>
      </x:c>
      <x:c r="D22" s="3"/>
      <x:c r="E22" s="3"/>
      <x:c r="F22" s="3"/>
      <x:c r="G22" s="3"/>
    </x:row>
    <x:row r="23" ht="30" customHeight="1">
      <x:c r="A23" s="3"/>
      <x:c r="B23" s="3"/>
      <x:c r="C23" s="3"/>
      <x:c r="D23" s="3"/>
      <x:c r="E23" s="3"/>
      <x:c r="F23" s="3"/>
      <x:c r="G23" s="3"/>
    </x:row>
    <x:row r="24" ht="30" customHeight="1">
      <x:c r="A24" s="6" t="str">
        <x:v>Предварительный прайс</x:v>
      </x:c>
      <x:c r="B24" s="6" t="str">
        <x:v>Блокнот, руб./шт.</x:v>
      </x:c>
      <x:c r="C24" s="6" t="str">
        <x:v>Ручка, руб./шт.</x:v>
      </x:c>
      <x:c r="D24" s="6" t="str">
        <x:v>Доставка, руб.</x:v>
      </x:c>
      <x:c r="E24" s="6" t="str">
        <x:v>Источник</x:v>
      </x:c>
      <x:c r="F24" s="6" t="str">
        <x:v>Контакт</x:v>
      </x:c>
      <x:c r="G24" s="6"/>
    </x:row>
    <x:row r="25" ht="30" customHeight="1">
      <x:c r="A25" s="3" t="str">
        <x:v>Ресурс</x:v>
      </x:c>
      <x:c r="B25" s="11" t="n">
        <x:v>42</x:v>
      </x:c>
      <x:c r="C25" s="11" t="n">
        <x:v>18</x:v>
      </x:c>
      <x:c r="D25" s="11" t="n">
        <x:v>450</x:v>
      </x:c>
      <x:c r="E25" s="3" t="str">
        <x:v>quotes.txt</x:v>
      </x:c>
      <x:c r="F25" s="3" t="str">
        <x:v>orders@resurs.example</x:v>
      </x:c>
      <x:c r="G25" s="3"/>
    </x:row>
    <x:row r="26" ht="30" customHeight="1">
      <x:c r="A26" s="3" t="str">
        <x:v>Склад</x:v>
      </x:c>
      <x:c r="B26" s="11" t="n">
        <x:v>39</x:v>
      </x:c>
      <x:c r="C26" s="11" t="n">
        <x:v>21</x:v>
      </x:c>
      <x:c r="D26" s="11" t="n">
        <x:v>700</x:v>
      </x:c>
      <x:c r="E26" s="3" t="str">
        <x:v>quotes.txt</x:v>
      </x:c>
      <x:c r="F26" s="3" t="str">
        <x:v>quote@sklad.example</x:v>
      </x:c>
      <x:c r="G26" s="3"/>
    </x:row>
    <x:row r="27" ht="30" customHeight="1">
      <x:c r="A27" s="3"/>
      <x:c r="B27" s="3"/>
      <x:c r="C27" s="3"/>
      <x:c r="D27" s="3"/>
      <x:c r="E27" s="3"/>
      <x:c r="F27" s="3"/>
      <x:c r="G27" s="3"/>
    </x:row>
    <x:row r="28" ht="55" customHeight="1">
      <x:c r="A28" s="6" t="str">
        <x:v>Фактические ответы</x:v>
      </x:c>
      <x:c r="B28" s="6" t="str">
        <x:v>Проверенная сумма, руб.</x:v>
      </x:c>
      <x:c r="C28" s="6" t="str">
        <x:v>Наличие</x:v>
      </x:c>
      <x:c r="D28" s="6" t="str">
        <x:v>Срок / условия</x:v>
      </x:c>
      <x:c r="E28" s="6" t="str">
        <x:v>Ссылка на ответ</x:v>
      </x:c>
      <x:c r="F28" s="6" t="str">
        <x:v>Статус</x:v>
      </x:c>
      <x:c r="G28" s="6" t="str">
        <x:v>Замены → Петру</x:v>
      </x:c>
    </x:row>
    <x:row r="29" ht="55" customHeight="1">
      <x:c r="A29" s="3" t="str">
        <x:v>Ресурс</x:v>
      </x:c>
      <x:c r="B29" s="11"/>
      <x:c r="C29" s="8"/>
      <x:c r="D29" s="8"/>
      <x:c r="E29" s="8"/>
      <x:c r="F29" s="8" t="str">
        <x:v>Не запрошено</x:v>
      </x:c>
      <x:c r="G29" s="8"/>
    </x:row>
    <x:row r="30" ht="55" customHeight="1">
      <x:c r="A30" s="3" t="str">
        <x:v>Склад</x:v>
      </x:c>
      <x:c r="B30" s="11"/>
      <x:c r="C30" s="8"/>
      <x:c r="D30" s="8"/>
      <x:c r="E30" s="8"/>
      <x:c r="F30" s="8" t="str">
        <x:v>Не запрошено</x:v>
      </x:c>
      <x:c r="G30" s="8"/>
    </x:row>
    <x:row r="31" ht="30" customHeight="1">
      <x:c r="A31" s="3" t="str">
        <x:v>Пусто = неизвестно</x:v>
      </x:c>
      <x:c r="B31" s="3" t="str">
        <x:v>Не 0</x:v>
      </x:c>
      <x:c r="C31" s="3"/>
      <x:c r="D31" s="3"/>
      <x:c r="E31" s="3"/>
      <x:c r="F31" s="3"/>
      <x:c r="G31" s="3"/>
    </x:row>
    <x:row r="32" ht="30" customHeight="1">
      <x:c r="A32" s="3"/>
      <x:c r="B32" s="3"/>
      <x:c r="C32" s="3"/>
      <x:c r="D32" s="3"/>
      <x:c r="E32" s="3"/>
      <x:c r="F32" s="3"/>
      <x:c r="G32" s="3"/>
    </x:row>
    <x:row r="33" ht="48" customHeight="1">
      <x:c r="A33" s="3" t="str">
        <x:v>Адрес доставки</x:v>
      </x:c>
      <x:c r="B33" s="8"/>
      <x:c r="C33" s="8"/>
      <x:c r="D33" s="3" t="str">
        <x:v>Неизвестен; источник не указан</x:v>
      </x:c>
      <x:c r="E33" s="3"/>
      <x:c r="F33" s="3"/>
      <x:c r="G33" s="3"/>
    </x:row>
    <x:row r="34" ht="48" customHeight="1">
      <x:c r="A34" s="3" t="str">
        <x:v>Требуемая дата</x:v>
      </x:c>
      <x:c r="B34" s="8"/>
      <x:c r="C34" s="8"/>
      <x:c r="D34" s="3" t="str">
        <x:v>Неизвестна; сбор сведений разрешён</x:v>
      </x:c>
      <x:c r="E34" s="3"/>
      <x:c r="F34" s="3"/>
      <x:c r="G34" s="3"/>
    </x:row>
    <x:row r="35" ht="48" customHeight="1">
      <x:c r="A35" s="3" t="str">
        <x:v>Фактическая отправка запросов</x:v>
      </x:c>
      <x:c r="B35" s="8"/>
      <x:c r="C35" s="8"/>
      <x:c r="D35" s="3" t="str">
        <x:v>Заполнить фактические даты для обоих поставщиков</x:v>
      </x:c>
      <x:c r="E35" s="3"/>
      <x:c r="F35" s="3"/>
      <x:c r="G35" s="3"/>
    </x:row>
    <x:row r="36" ht="48" customHeight="1">
      <x:c r="A36" s="3" t="str">
        <x:v>Передача Петру</x:v>
      </x:c>
      <x:c r="B36" s="3" t="str">
        <x:v>Через 2 рабочих дня после отправки</x:v>
      </x:c>
      <x:c r="C36" s="3"/>
      <x:c r="D36" s="3" t="str">
        <x:v>Чат «Комплекты филиалов», даже если нет ответа</x:v>
      </x:c>
      <x:c r="E36" s="3"/>
      <x:c r="F36" s="3" t="str">
        <x:v>Покупку разрешает Елена</x:v>
      </x:c>
      <x:c r="G36" s="3"/>
    </x:row>
    <x:row r="37" ht="48" customHeight="1">
      <x:c r="A37" s="3" t="str">
        <x:v>Источники: см. START_HERE_RU.md</x:v>
      </x:c>
      <x:c r="B37" s="3"/>
      <x:c r="C37" s="3" t="str">
        <x:v>Предыдущий план не используется. Тексты запросов обновляются вручную при изменении данных.</x:v>
      </x:c>
      <x:c r="D37" s="3"/>
      <x:c r="E37" s="3"/>
      <x:c r="F37" s="3"/>
      <x:c r="G37" s="3"/>
    </x:row>
  </x:sheetData>
  <x:mergeCells>
    <x:mergeCell ref="C2:E2"/>
    <x:mergeCell ref="C22:G22"/>
    <x:mergeCell ref="C37:G37"/>
    <x:mergeCell ref="B33:C33"/>
    <x:mergeCell ref="B34:C34"/>
    <x:mergeCell ref="B35:C35"/>
  </x:mergeCells>
  <x:dataValidations count="1">
    <x:dataValidation type="list" sqref="F29:F30">
      <x:formula1>"Не запрошено,Ожидаем ответ,Ответ получен,Нет ответа"</x:formula1>
    </x:dataValidation>
  </x:dataValidations>
  <x:pageMargins left="0.7" right="0.7" top="0.75" bottom="0.75" header="0.3" footer="0.3"/>
</x:worksheet>
</file>